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ters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Plazos" sheetId="4" state="visible" r:id="rId4"/>
    <sheet xmlns:r="http://schemas.openxmlformats.org/officeDocument/2006/relationships" name="Finanzas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Templates" sheetId="7" state="visible" r:id="rId7"/>
    <sheet xmlns:r="http://schemas.openxmlformats.org/officeDocument/2006/relationships" name="Agentes" sheetId="8" state="visible" r:id="rId8"/>
    <sheet xmlns:r="http://schemas.openxmlformats.org/officeDocument/2006/relationships" name="Disputas" sheetId="9" state="visible" r:id="rId9"/>
    <sheet xmlns:r="http://schemas.openxmlformats.org/officeDocument/2006/relationships" name="Biblioteca" sheetId="10" state="visible" r:id="rId10"/>
    <sheet xmlns:r="http://schemas.openxmlformats.org/officeDocument/2006/relationships" name="Facturacion" sheetId="11" state="visible" r:id="rId11"/>
    <sheet xmlns:r="http://schemas.openxmlformats.org/officeDocument/2006/relationships" name="Guia de Us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Playfair Display"/>
      <b val="1"/>
      <color rgb="001a1a18"/>
      <sz val="18"/>
    </font>
    <font>
      <name val="Inter"/>
      <color rgb="009a9a96"/>
      <sz val="10"/>
    </font>
    <font>
      <b val="1"/>
      <sz val="11"/>
    </font>
    <font>
      <color rgb="00d4a574"/>
      <sz val="11"/>
    </font>
    <font>
      <name val="Inter"/>
      <b val="1"/>
      <color rgb="00FFFFFF"/>
      <sz val="10"/>
    </font>
    <font>
      <name val="Inter"/>
      <color rgb="001a1a18"/>
      <sz val="10"/>
    </font>
  </fonts>
  <fills count="6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e8f5e9"/>
        <bgColor rgb="00e8f5e9"/>
      </patternFill>
    </fill>
    <fill>
      <patternFill patternType="solid">
        <fgColor rgb="00fde8e8"/>
        <bgColor rgb="00fde8e8"/>
      </patternFill>
    </fill>
    <fill>
      <patternFill patternType="solid">
        <fgColor rgb="00fef3e2"/>
        <bgColor rgb="00fef3e2"/>
      </patternFill>
    </fill>
  </fills>
  <borders count="2">
    <border>
      <left/>
      <right/>
      <top/>
      <bottom/>
      <diagonal/>
    </border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5" fillId="2" borderId="0" pivotButton="0" quotePrefix="0" xfId="0"/>
    <xf numFmtId="0" fontId="6" fillId="5" borderId="1" pivotButton="0" quotePrefix="0" xfId="0"/>
    <xf numFmtId="164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574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WILLOW LEGAL — Centro de Mando</t>
        </is>
      </c>
    </row>
    <row r="2">
      <c r="A2" s="2" t="inlineStr">
        <is>
          <t>We Law S.C. | 30 Apr 2026</t>
        </is>
      </c>
    </row>
    <row r="4">
      <c r="A4" s="3" t="inlineStr">
        <is>
          <t>Matters Activos</t>
        </is>
      </c>
      <c r="B4" s="4">
        <f>COUNTIF(Matters!D:D,"active")</f>
        <v/>
      </c>
    </row>
    <row r="5">
      <c r="A5" s="3" t="inlineStr">
        <is>
          <t>Docs Pendientes</t>
        </is>
      </c>
      <c r="B5" s="4">
        <f>COUNTIF(Documentos!E:E,"pendiente")</f>
        <v/>
      </c>
    </row>
    <row r="6">
      <c r="A6" s="3" t="inlineStr">
        <is>
          <t>Plazos Vencidos</t>
        </is>
      </c>
      <c r="B6" s="4">
        <f>COUNTIF(Plazos!F:F,"vencido")</f>
        <v/>
      </c>
    </row>
    <row r="7">
      <c r="A7" s="3" t="inlineStr">
        <is>
          <t>Alertas Críticas</t>
        </is>
      </c>
      <c r="B7" s="4">
        <f>COUNTIFS(Plazos!G:G,"critical",Plazos!F:F,"&lt;&gt;completado")</f>
        <v/>
      </c>
    </row>
    <row r="8">
      <c r="A8" s="3" t="inlineStr">
        <is>
          <t>Total Honorarios</t>
        </is>
      </c>
      <c r="B8" s="4">
        <f>SUM(Finanzas!C:C)</f>
        <v/>
      </c>
    </row>
    <row r="9">
      <c r="A9" s="3" t="inlineStr">
        <is>
          <t>Total Pendiente</t>
        </is>
      </c>
      <c r="B9" s="4">
        <f>SUM(Finanzas!E:E)</f>
        <v/>
      </c>
    </row>
    <row r="11">
      <c r="A11" s="3" t="inlineStr">
        <is>
          <t>NAVEGACIÓN RÁPIDA</t>
        </is>
      </c>
    </row>
    <row r="12">
      <c r="A12" t="inlineStr">
        <is>
          <t>Ver Matters</t>
        </is>
      </c>
      <c r="B12">
        <f>HYPERLINK("#Matters!A1", "Ir →")</f>
        <v/>
      </c>
    </row>
    <row r="13">
      <c r="A13" t="inlineStr">
        <is>
          <t>Ver Documentos</t>
        </is>
      </c>
      <c r="B13">
        <f>HYPERLINK("#Documentos!A1", "Ir →")</f>
        <v/>
      </c>
    </row>
    <row r="14">
      <c r="A14" t="inlineStr">
        <is>
          <t>Ver Plazos</t>
        </is>
      </c>
      <c r="B14">
        <f>HYPERLINK("#Plazos!A1", "Ir →")</f>
        <v/>
      </c>
    </row>
    <row r="15">
      <c r="A15" t="inlineStr">
        <is>
          <t>Ver Finanzas</t>
        </is>
      </c>
      <c r="B15">
        <f>HYPERLINK("#Finanzas!A1", "Ir →")</f>
        <v/>
      </c>
    </row>
    <row r="16">
      <c r="A16" t="inlineStr">
        <is>
          <t>Ver Clientes</t>
        </is>
      </c>
      <c r="B16">
        <f>HYPERLINK("#Clientes!A1", "Ir →")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5a3d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3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5" t="inlineStr">
        <is>
          <t>Matter ID</t>
        </is>
      </c>
      <c r="B1" s="5" t="inlineStr">
        <is>
          <t>Cliente</t>
        </is>
      </c>
      <c r="C1" s="5" t="inlineStr">
        <is>
          <t>Representante</t>
        </is>
      </c>
      <c r="D1" s="5" t="inlineStr">
        <is>
          <t>Status</t>
        </is>
      </c>
      <c r="E1" s="5" t="inlineStr">
        <is>
          <t>Área</t>
        </is>
      </c>
      <c r="F1" s="5" t="inlineStr">
        <is>
          <t>Prioridad</t>
        </is>
      </c>
      <c r="G1" s="5" t="inlineStr">
        <is>
          <t>Fecha Apertura</t>
        </is>
      </c>
      <c r="H1" s="5" t="inlineStr">
        <is>
          <t>Deadline</t>
        </is>
      </c>
      <c r="I1" s="5" t="inlineStr">
        <is>
          <t>Días Restantes</t>
        </is>
      </c>
      <c r="J1" s="5" t="inlineStr">
        <is>
          <t>Docs Pendientes</t>
        </is>
      </c>
      <c r="K1" s="5" t="inlineStr">
        <is>
          <t>Bloqueo Actual</t>
        </is>
      </c>
    </row>
    <row r="2">
      <c r="A2" s="6" t="inlineStr">
        <is>
          <t>PRAG-001</t>
        </is>
      </c>
      <c r="B2" s="6" t="inlineStr">
        <is>
          <t>Pragma Studio</t>
        </is>
      </c>
      <c r="C2" s="6" t="inlineStr">
        <is>
          <t>Juan Antonio Angel Ramirez</t>
        </is>
      </c>
      <c r="D2" s="7" t="inlineStr">
        <is>
          <t>active</t>
        </is>
      </c>
      <c r="E2" s="6" t="inlineStr">
        <is>
          <t>Mercantil / Contratos / Cobranza</t>
        </is>
      </c>
      <c r="F2" s="8" t="inlineStr">
        <is>
          <t>high</t>
        </is>
      </c>
      <c r="G2" s="6" t="inlineStr">
        <is>
          <t>2025-09-29</t>
        </is>
      </c>
      <c r="H2" s="6" t="inlineStr">
        <is>
          <t>2025-12-15</t>
        </is>
      </c>
      <c r="I2" s="6">
        <f>H2-TODAY()</f>
        <v/>
      </c>
      <c r="J2" s="6">
        <f>COUNTIF(Documentos!A:A,"PRAG-001")-COUNTIFS(Documentos!A:A,"PRAG-001",Documentos!E:E,"listo")</f>
        <v/>
      </c>
      <c r="K2" s="6" t="inlineStr">
        <is>
          <t>Disputa Andy requiere respuesta formal</t>
        </is>
      </c>
    </row>
  </sheetData>
  <dataValidations count="2">
    <dataValidation sqref="D2:D100" showDropDown="0" showInputMessage="0" showErrorMessage="0" allowBlank="1" type="list">
      <formula1>"active,closed,paused"</formula1>
    </dataValidation>
    <dataValidation sqref="F2:F1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851a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3" max="3"/>
    <col width="30" customWidth="1" min="8" max="8"/>
  </cols>
  <sheetData>
    <row r="1">
      <c r="A1" s="9" t="inlineStr">
        <is>
          <t>Matter ID</t>
        </is>
      </c>
      <c r="B1" s="9" t="inlineStr">
        <is>
          <t>Doc ID</t>
        </is>
      </c>
      <c r="C1" s="9" t="inlineStr">
        <is>
          <t>Documento</t>
        </is>
      </c>
      <c r="D1" s="9" t="inlineStr">
        <is>
          <t>Template</t>
        </is>
      </c>
      <c r="E1" s="9" t="inlineStr">
        <is>
          <t>Status</t>
        </is>
      </c>
      <c r="F1" s="9" t="inlineStr">
        <is>
          <t>Prioridad</t>
        </is>
      </c>
      <c r="G1" s="9" t="inlineStr">
        <is>
          <t>Fecha Límite</t>
        </is>
      </c>
      <c r="H1" s="9" t="inlineStr">
        <is>
          <t>Ubicación</t>
        </is>
      </c>
    </row>
    <row r="2">
      <c r="A2" s="6" t="inlineStr">
        <is>
          <t>PRAG-001</t>
        </is>
      </c>
      <c r="B2" s="6" t="inlineStr">
        <is>
          <t>DOC-001</t>
        </is>
      </c>
      <c r="C2" s="6" t="inlineStr">
        <is>
          <t>Contrato Prestación Servicios</t>
        </is>
      </c>
      <c r="D2" s="6" t="inlineStr">
        <is>
          <t>prestacion_servicios</t>
        </is>
      </c>
      <c r="E2" s="10" t="inlineStr">
        <is>
          <t>pendiente</t>
        </is>
      </c>
      <c r="F2" s="8" t="inlineStr">
        <is>
          <t>high</t>
        </is>
      </c>
      <c r="G2" s="6" t="inlineStr">
        <is>
          <t>2025-12-15</t>
        </is>
      </c>
      <c r="H2" s="6" t="inlineStr">
        <is>
          <t>02_Contratos/Borradores/</t>
        </is>
      </c>
    </row>
    <row r="3">
      <c r="A3" s="6" t="inlineStr">
        <is>
          <t>PRAG-001</t>
        </is>
      </c>
      <c r="B3" s="6" t="inlineStr">
        <is>
          <t>DOC-002</t>
        </is>
      </c>
      <c r="C3" s="6" t="inlineStr">
        <is>
          <t>Términos y Condiciones</t>
        </is>
      </c>
      <c r="D3" s="6" t="inlineStr">
        <is>
          <t>terminos_condiciones</t>
        </is>
      </c>
      <c r="E3" s="10" t="inlineStr">
        <is>
          <t>pendiente</t>
        </is>
      </c>
      <c r="F3" s="8" t="inlineStr">
        <is>
          <t>high</t>
        </is>
      </c>
      <c r="G3" s="6" t="inlineStr">
        <is>
          <t>2025-12-15</t>
        </is>
      </c>
      <c r="H3" s="6" t="inlineStr">
        <is>
          <t>02_Contratos/Borradores/</t>
        </is>
      </c>
    </row>
    <row r="4">
      <c r="A4" s="6" t="inlineStr">
        <is>
          <t>PRAG-001</t>
        </is>
      </c>
      <c r="B4" s="6" t="inlineStr">
        <is>
          <t>DOC-003</t>
        </is>
      </c>
      <c r="C4" s="6" t="inlineStr">
        <is>
          <t>Acta Entrega Fase Conceptual</t>
        </is>
      </c>
      <c r="D4" s="6" t="inlineStr">
        <is>
          <t>bitacora_entregas</t>
        </is>
      </c>
      <c r="E4" s="10" t="inlineStr">
        <is>
          <t>pendiente</t>
        </is>
      </c>
      <c r="F4" s="8" t="inlineStr">
        <is>
          <t>high</t>
        </is>
      </c>
      <c r="G4" s="6" t="inlineStr">
        <is>
          <t>2025-12-15</t>
        </is>
      </c>
      <c r="H4" s="6" t="inlineStr">
        <is>
          <t>02_Contratos/Borradores/</t>
        </is>
      </c>
    </row>
    <row r="5">
      <c r="A5" s="6" t="inlineStr">
        <is>
          <t>PRAG-001</t>
        </is>
      </c>
      <c r="B5" s="6" t="inlineStr">
        <is>
          <t>DOC-004</t>
        </is>
      </c>
      <c r="C5" s="6" t="inlineStr">
        <is>
          <t>Acta Entrega Fase Desarrollo</t>
        </is>
      </c>
      <c r="D5" s="6" t="inlineStr">
        <is>
          <t>bitacora_entregas</t>
        </is>
      </c>
      <c r="E5" s="10" t="inlineStr">
        <is>
          <t>pendiente</t>
        </is>
      </c>
      <c r="F5" s="8" t="inlineStr">
        <is>
          <t>high</t>
        </is>
      </c>
      <c r="G5" s="6" t="inlineStr">
        <is>
          <t>2025-12-15</t>
        </is>
      </c>
      <c r="H5" s="6" t="inlineStr">
        <is>
          <t>02_Contratos/Borradores/</t>
        </is>
      </c>
    </row>
    <row r="6">
      <c r="A6" s="6" t="inlineStr">
        <is>
          <t>PRAG-001</t>
        </is>
      </c>
      <c r="B6" s="6" t="inlineStr">
        <is>
          <t>DOC-005</t>
        </is>
      </c>
      <c r="C6" s="6" t="inlineStr">
        <is>
          <t>Acta Entrega Fase Constructiva</t>
        </is>
      </c>
      <c r="D6" s="6" t="inlineStr">
        <is>
          <t>bitacora_entregas</t>
        </is>
      </c>
      <c r="E6" s="10" t="inlineStr">
        <is>
          <t>pendiente</t>
        </is>
      </c>
      <c r="F6" s="8" t="inlineStr">
        <is>
          <t>high</t>
        </is>
      </c>
      <c r="G6" s="6" t="inlineStr">
        <is>
          <t>2025-12-15</t>
        </is>
      </c>
      <c r="H6" s="6" t="inlineStr">
        <is>
          <t>02_Contratos/Borradores/</t>
        </is>
      </c>
    </row>
    <row r="7">
      <c r="A7" s="6" t="inlineStr">
        <is>
          <t>PRAG-001</t>
        </is>
      </c>
      <c r="B7" s="6" t="inlineStr">
        <is>
          <t>DOC-006</t>
        </is>
      </c>
      <c r="C7" s="6" t="inlineStr">
        <is>
          <t>Protocolo Cobranza</t>
        </is>
      </c>
      <c r="D7" s="6" t="inlineStr">
        <is>
          <t>convenio_pagos</t>
        </is>
      </c>
      <c r="E7" s="10" t="inlineStr">
        <is>
          <t>pendiente</t>
        </is>
      </c>
      <c r="F7" s="6" t="inlineStr">
        <is>
          <t>medium</t>
        </is>
      </c>
      <c r="G7" s="6" t="inlineStr">
        <is>
          <t>2025-12-15</t>
        </is>
      </c>
      <c r="H7" s="6" t="inlineStr">
        <is>
          <t>02_Contratos/Borradores/</t>
        </is>
      </c>
    </row>
    <row r="8">
      <c r="A8" s="6" t="inlineStr">
        <is>
          <t>PRAG-001</t>
        </is>
      </c>
      <c r="B8" s="6" t="inlineStr">
        <is>
          <t>DOC-007</t>
        </is>
      </c>
      <c r="C8" s="6" t="inlineStr">
        <is>
          <t>Contrato Subcontratistas</t>
        </is>
      </c>
      <c r="D8" s="6" t="inlineStr">
        <is>
          <t>prestacion_servicios</t>
        </is>
      </c>
      <c r="E8" s="10" t="inlineStr">
        <is>
          <t>pendiente</t>
        </is>
      </c>
      <c r="F8" s="6" t="inlineStr">
        <is>
          <t>medium</t>
        </is>
      </c>
      <c r="G8" s="6" t="inlineStr">
        <is>
          <t>2025-12-15</t>
        </is>
      </c>
      <c r="H8" s="6" t="inlineStr">
        <is>
          <t>02_Contratos/Borradores/</t>
        </is>
      </c>
    </row>
    <row r="9">
      <c r="A9" s="6" t="inlineStr">
        <is>
          <t>PRAG-001</t>
        </is>
      </c>
      <c r="B9" s="6" t="inlineStr">
        <is>
          <t>DOC-008</t>
        </is>
      </c>
      <c r="C9" s="6" t="inlineStr">
        <is>
          <t>Acta Cierre Proyecto</t>
        </is>
      </c>
      <c r="D9" s="6" t="inlineStr">
        <is>
          <t>bitacora_entregas</t>
        </is>
      </c>
      <c r="E9" s="10" t="inlineStr">
        <is>
          <t>pendiente</t>
        </is>
      </c>
      <c r="F9" s="6" t="inlineStr">
        <is>
          <t>low</t>
        </is>
      </c>
      <c r="G9" s="6" t="inlineStr">
        <is>
          <t>2025-12-15</t>
        </is>
      </c>
      <c r="H9" s="6" t="inlineStr">
        <is>
          <t>02_Contratos/Borradores/</t>
        </is>
      </c>
    </row>
  </sheetData>
  <dataValidations count="1">
    <dataValidation sqref="E2:E100" showDropDown="0" showInputMessage="0" showErrorMessage="0" allowBlank="0" type="list">
      <formula1>"pendiente,borrador,revision,firmado,listo"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3" max="3"/>
    <col width="45" customWidth="1" min="9" max="9"/>
  </cols>
  <sheetData>
    <row r="1">
      <c r="A1" s="9" t="inlineStr">
        <is>
          <t>Matter ID</t>
        </is>
      </c>
      <c r="B1" s="9" t="inlineStr">
        <is>
          <t>Plazo ID</t>
        </is>
      </c>
      <c r="C1" s="9" t="inlineStr">
        <is>
          <t>Descripción</t>
        </is>
      </c>
      <c r="D1" s="9" t="inlineStr">
        <is>
          <t>Fecha</t>
        </is>
      </c>
      <c r="E1" s="9" t="inlineStr">
        <is>
          <t>Tipo</t>
        </is>
      </c>
      <c r="F1" s="9" t="inlineStr">
        <is>
          <t>Status</t>
        </is>
      </c>
      <c r="G1" s="9" t="inlineStr">
        <is>
          <t>Urgencia</t>
        </is>
      </c>
      <c r="H1" s="9" t="inlineStr">
        <is>
          <t>Días Restantes</t>
        </is>
      </c>
      <c r="I1" s="9" t="inlineStr">
        <is>
          <t>Notas</t>
        </is>
      </c>
    </row>
    <row r="2">
      <c r="A2" s="6" t="inlineStr">
        <is>
          <t>PRAG-001</t>
        </is>
      </c>
      <c r="B2" s="6" t="inlineStr">
        <is>
          <t>PLZ-001</t>
        </is>
      </c>
      <c r="C2" s="6" t="inlineStr">
        <is>
          <t>Entrega correo respuesta Andy</t>
        </is>
      </c>
      <c r="D2" s="6" t="inlineStr">
        <is>
          <t>2025-11-05</t>
        </is>
      </c>
      <c r="E2" s="6" t="inlineStr">
        <is>
          <t>contractual</t>
        </is>
      </c>
      <c r="F2" s="8" t="inlineStr">
        <is>
          <t>vencido</t>
        </is>
      </c>
      <c r="G2" s="8" t="inlineStr">
        <is>
          <t>critical</t>
        </is>
      </c>
      <c r="H2" s="6">
        <f>D2-TODAY()</f>
        <v/>
      </c>
      <c r="I2" s="6" t="inlineStr">
        <is>
          <t>Disputa activa. Estrategia: cobrar $80k, no $200k</t>
        </is>
      </c>
    </row>
    <row r="3">
      <c r="A3" s="6" t="inlineStr">
        <is>
          <t>PRAG-001</t>
        </is>
      </c>
      <c r="B3" s="6" t="inlineStr">
        <is>
          <t>PLZ-002</t>
        </is>
      </c>
      <c r="C3" s="6" t="inlineStr">
        <is>
          <t>Entrega borrador contrato ligero</t>
        </is>
      </c>
      <c r="D3" s="6" t="inlineStr">
        <is>
          <t>2025-11-15</t>
        </is>
      </c>
      <c r="E3" s="6" t="inlineStr">
        <is>
          <t>contractual</t>
        </is>
      </c>
      <c r="F3" s="8" t="inlineStr">
        <is>
          <t>vencido</t>
        </is>
      </c>
      <c r="G3" s="10" t="inlineStr">
        <is>
          <t>high</t>
        </is>
      </c>
      <c r="H3" s="6">
        <f>D3-TODAY()</f>
        <v/>
      </c>
      <c r="I3" s="6" t="inlineStr">
        <is>
          <t>Prioridad alta para cerrar ventas</t>
        </is>
      </c>
    </row>
    <row r="4">
      <c r="A4" s="6" t="inlineStr">
        <is>
          <t>PRAG-001</t>
        </is>
      </c>
      <c r="B4" s="6" t="inlineStr">
        <is>
          <t>PLZ-003</t>
        </is>
      </c>
      <c r="C4" s="6" t="inlineStr">
        <is>
          <t>Entrega paquete legal completo</t>
        </is>
      </c>
      <c r="D4" s="6" t="inlineStr">
        <is>
          <t>2025-12-15</t>
        </is>
      </c>
      <c r="E4" s="6" t="inlineStr">
        <is>
          <t>contractual</t>
        </is>
      </c>
      <c r="F4" s="8" t="inlineStr">
        <is>
          <t>vencido</t>
        </is>
      </c>
      <c r="G4" s="10" t="inlineStr">
        <is>
          <t>high</t>
        </is>
      </c>
      <c r="H4" s="6">
        <f>D4-TODAY()</f>
        <v/>
      </c>
      <c r="I4" s="6" t="inlineStr">
        <is>
          <t>8 documentos incluidos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5a3d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2" max="2"/>
  </cols>
  <sheetData>
    <row r="1">
      <c r="A1" s="9" t="inlineStr">
        <is>
          <t>Matter ID</t>
        </is>
      </c>
      <c r="B1" s="9" t="inlineStr">
        <is>
          <t>Cliente</t>
        </is>
      </c>
      <c r="C1" s="9" t="inlineStr">
        <is>
          <t>Honorarios</t>
        </is>
      </c>
      <c r="D1" s="9" t="inlineStr">
        <is>
          <t>Pagado</t>
        </is>
      </c>
      <c r="E1" s="9" t="inlineStr">
        <is>
          <t>Pendiente</t>
        </is>
      </c>
      <c r="F1" s="9" t="inlineStr">
        <is>
          <t>Moneda</t>
        </is>
      </c>
      <c r="G1" s="9" t="inlineStr">
        <is>
          <t>Margen %</t>
        </is>
      </c>
    </row>
    <row r="2">
      <c r="A2" s="6" t="inlineStr">
        <is>
          <t>PRAG-001</t>
        </is>
      </c>
      <c r="B2" s="6" t="inlineStr">
        <is>
          <t>Pragma Studio</t>
        </is>
      </c>
      <c r="C2" s="11" t="n">
        <v>0</v>
      </c>
      <c r="D2" s="11" t="n">
        <v>0</v>
      </c>
      <c r="E2" s="11" t="n">
        <v>0</v>
      </c>
      <c r="F2" s="6" t="inlineStr">
        <is>
          <t>MXN</t>
        </is>
      </c>
      <c r="G2" s="12">
        <f>IF(C2&gt;0,(D2/C2)*100,0)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3d3a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2" max="2"/>
    <col width="28" customWidth="1" min="3" max="3"/>
    <col width="25" customWidth="1" min="4" max="4"/>
    <col width="25" customWidth="1" min="6" max="6"/>
  </cols>
  <sheetData>
    <row r="1">
      <c r="A1" s="9" t="inlineStr">
        <is>
          <t>Matter ID</t>
        </is>
      </c>
      <c r="B1" s="9" t="inlineStr">
        <is>
          <t>Razón Social</t>
        </is>
      </c>
      <c r="C1" s="9" t="inlineStr">
        <is>
          <t>Representante</t>
        </is>
      </c>
      <c r="D1" s="9" t="inlineStr">
        <is>
          <t>Email</t>
        </is>
      </c>
      <c r="E1" s="9" t="inlineStr">
        <is>
          <t>RFC</t>
        </is>
      </c>
      <c r="F1" s="9" t="inlineStr">
        <is>
          <t>Domicilio Fiscal</t>
        </is>
      </c>
      <c r="G1" s="9" t="inlineStr">
        <is>
          <t>Teléfono</t>
        </is>
      </c>
      <c r="H1" s="9" t="inlineStr">
        <is>
          <t>Sector</t>
        </is>
      </c>
      <c r="I1" s="9" t="inlineStr">
        <is>
          <t>Tamaño</t>
        </is>
      </c>
    </row>
    <row r="2">
      <c r="A2" s="6" t="inlineStr">
        <is>
          <t>PRAG-001</t>
        </is>
      </c>
      <c r="B2" s="6" t="inlineStr">
        <is>
          <t>Pragma Studio</t>
        </is>
      </c>
      <c r="C2" s="6" t="inlineStr">
        <is>
          <t>Juan Antonio Angel Ramirez</t>
        </is>
      </c>
      <c r="D2" s="6" t="inlineStr">
        <is>
          <t>juan@pragmaestudio.com</t>
        </is>
      </c>
      <c r="E2" s="6" t="inlineStr">
        <is>
          <t>AARJ851123XXX</t>
        </is>
      </c>
      <c r="F2" s="6" t="inlineStr">
        <is>
          <t>Guadalajara, Jalisco</t>
        </is>
      </c>
      <c r="G2" s="6" t="inlineStr">
        <is>
          <t>33XXXXXXX</t>
        </is>
      </c>
      <c r="H2" s="6" t="inlineStr">
        <is>
          <t>Arquitectura / Restaurantes</t>
        </is>
      </c>
      <c r="I2" s="6" t="inlineStr">
        <is>
          <t>SME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574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2" max="2"/>
  </cols>
  <sheetData>
    <row r="1">
      <c r="A1" s="9" t="inlineStr">
        <is>
          <t>Key</t>
        </is>
      </c>
      <c r="B1" s="9" t="inlineStr">
        <is>
          <t>Documento</t>
        </is>
      </c>
      <c r="C1" s="9" t="inlineStr">
        <is>
          <t>Área</t>
        </is>
      </c>
      <c r="D1" s="9" t="inlineStr">
        <is>
          <t>Materia</t>
        </is>
      </c>
    </row>
    <row r="2">
      <c r="A2" s="6" t="inlineStr">
        <is>
          <t>prestacion_servicios</t>
        </is>
      </c>
      <c r="B2" s="6" t="inlineStr">
        <is>
          <t>Contrato de Prestación de Servicios</t>
        </is>
      </c>
      <c r="C2" s="6" t="inlineStr">
        <is>
          <t>Contratos</t>
        </is>
      </c>
      <c r="D2" s="6" t="inlineStr">
        <is>
          <t>corporativo</t>
        </is>
      </c>
    </row>
    <row r="3">
      <c r="A3" s="6" t="inlineStr">
        <is>
          <t>terminos_condiciones</t>
        </is>
      </c>
      <c r="B3" s="6" t="inlineStr">
        <is>
          <t>Términos y Condiciones</t>
        </is>
      </c>
      <c r="C3" s="6" t="inlineStr">
        <is>
          <t>Contratos</t>
        </is>
      </c>
      <c r="D3" s="6" t="inlineStr">
        <is>
          <t>corporativo</t>
        </is>
      </c>
    </row>
    <row r="4">
      <c r="A4" s="6" t="inlineStr">
        <is>
          <t>nda</t>
        </is>
      </c>
      <c r="B4" s="6" t="inlineStr">
        <is>
          <t>NDA Confidencialidad</t>
        </is>
      </c>
      <c r="C4" s="6" t="inlineStr">
        <is>
          <t>Contratos</t>
        </is>
      </c>
      <c r="D4" s="6" t="inlineStr">
        <is>
          <t>corporativo</t>
        </is>
      </c>
    </row>
    <row r="5">
      <c r="A5" s="6" t="inlineStr">
        <is>
          <t>convenio_pagos</t>
        </is>
      </c>
      <c r="B5" s="6" t="inlineStr">
        <is>
          <t>Convenio de Pagos / Cobranza</t>
        </is>
      </c>
      <c r="C5" s="6" t="inlineStr">
        <is>
          <t>Cobranza</t>
        </is>
      </c>
      <c r="D5" s="6" t="inlineStr">
        <is>
          <t>civil/mercantil</t>
        </is>
      </c>
    </row>
    <row r="6">
      <c r="A6" s="6" t="inlineStr">
        <is>
          <t>carta_cobranza</t>
        </is>
      </c>
      <c r="B6" s="6" t="inlineStr">
        <is>
          <t>Carta de Cobranza</t>
        </is>
      </c>
      <c r="C6" s="6" t="inlineStr">
        <is>
          <t>Cobranza</t>
        </is>
      </c>
      <c r="D6" s="6" t="inlineStr">
        <is>
          <t>civil/mercantil</t>
        </is>
      </c>
    </row>
    <row r="7">
      <c r="A7" s="6" t="inlineStr">
        <is>
          <t>bitacora_entregas</t>
        </is>
      </c>
      <c r="B7" s="6" t="inlineStr">
        <is>
          <t>Bitácora / Acta de Entregas</t>
        </is>
      </c>
      <c r="C7" s="6" t="inlineStr">
        <is>
          <t>Documentación</t>
        </is>
      </c>
      <c r="D7" s="6" t="inlineStr">
        <is>
          <t>corporativo</t>
        </is>
      </c>
    </row>
    <row r="8">
      <c r="A8" s="6" t="inlineStr">
        <is>
          <t>confidencialidad</t>
        </is>
      </c>
      <c r="B8" s="6" t="inlineStr">
        <is>
          <t>Acuerdo de Confidencialidad</t>
        </is>
      </c>
      <c r="C8" s="6" t="inlineStr">
        <is>
          <t>Contratos</t>
        </is>
      </c>
      <c r="D8" s="6" t="inlineStr">
        <is>
          <t>corporativo</t>
        </is>
      </c>
    </row>
    <row r="9">
      <c r="A9" s="6" t="inlineStr">
        <is>
          <t>contrato_trabajo</t>
        </is>
      </c>
      <c r="B9" s="6" t="inlineStr">
        <is>
          <t>Contrato de Trabajo</t>
        </is>
      </c>
      <c r="C9" s="6" t="inlineStr">
        <is>
          <t>Laboral</t>
        </is>
      </c>
      <c r="D9" s="6" t="inlineStr">
        <is>
          <t>laboral</t>
        </is>
      </c>
    </row>
    <row r="10">
      <c r="A10" s="6" t="inlineStr">
        <is>
          <t>arrendamiento</t>
        </is>
      </c>
      <c r="B10" s="6" t="inlineStr">
        <is>
          <t>Contrato de Arrendamiento</t>
        </is>
      </c>
      <c r="C10" s="6" t="inlineStr">
        <is>
          <t>Contratos</t>
        </is>
      </c>
      <c r="D10" s="6" t="inlineStr">
        <is>
          <t>civil/mercantil</t>
        </is>
      </c>
    </row>
    <row r="11">
      <c r="A11" s="6" t="inlineStr">
        <is>
          <t>pagare</t>
        </is>
      </c>
      <c r="B11" s="6" t="inlineStr">
        <is>
          <t>Pagaré</t>
        </is>
      </c>
      <c r="C11" s="6" t="inlineStr">
        <is>
          <t>Cobranza</t>
        </is>
      </c>
      <c r="D11" s="6" t="inlineStr">
        <is>
          <t>civil/mercantil</t>
        </is>
      </c>
    </row>
    <row r="12">
      <c r="A12" s="6" t="inlineStr">
        <is>
          <t>poder_notarial</t>
        </is>
      </c>
      <c r="B12" s="6" t="inlineStr">
        <is>
          <t>Poder Notarial</t>
        </is>
      </c>
      <c r="C12" s="6" t="inlineStr">
        <is>
          <t>Corporativo</t>
        </is>
      </c>
      <c r="D12" s="6" t="inlineStr">
        <is>
          <t>corporativo</t>
        </is>
      </c>
    </row>
    <row r="13">
      <c r="A13" s="6" t="inlineStr">
        <is>
          <t>acta_asamblea</t>
        </is>
      </c>
      <c r="B13" s="6" t="inlineStr">
        <is>
          <t>Acta de Asamblea</t>
        </is>
      </c>
      <c r="C13" s="6" t="inlineStr">
        <is>
          <t>Corporativo</t>
        </is>
      </c>
      <c r="D13" s="6" t="inlineStr">
        <is>
          <t>corporativo</t>
        </is>
      </c>
    </row>
    <row r="14">
      <c r="A14" s="6" t="inlineStr">
        <is>
          <t>aviso_privacidad</t>
        </is>
      </c>
      <c r="B14" s="6" t="inlineStr">
        <is>
          <t>Aviso de Privacidad</t>
        </is>
      </c>
      <c r="C14" s="6" t="inlineStr">
        <is>
          <t>Privacidad</t>
        </is>
      </c>
      <c r="D14" s="6" t="inlineStr">
        <is>
          <t>privacidad</t>
        </is>
      </c>
    </row>
    <row r="15">
      <c r="A15" s="6" t="inlineStr">
        <is>
          <t>convenio_accionistas</t>
        </is>
      </c>
      <c r="B15" s="6" t="inlineStr">
        <is>
          <t>Convenio de Accionistas</t>
        </is>
      </c>
      <c r="C15" s="6" t="inlineStr">
        <is>
          <t>Corporativo</t>
        </is>
      </c>
      <c r="D15" s="6" t="inlineStr">
        <is>
          <t>corporativo</t>
        </is>
      </c>
    </row>
    <row r="16">
      <c r="A16" s="6" t="inlineStr">
        <is>
          <t>estatutos_sociales</t>
        </is>
      </c>
      <c r="B16" s="6" t="inlineStr">
        <is>
          <t>Estatutos Sociales</t>
        </is>
      </c>
      <c r="C16" s="6" t="inlineStr">
        <is>
          <t>Corporativo</t>
        </is>
      </c>
      <c r="D16" s="6" t="inlineStr">
        <is>
          <t>corporativo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1a18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</cols>
  <sheetData>
    <row r="1">
      <c r="A1" s="9" t="inlineStr">
        <is>
          <t>Agente</t>
        </is>
      </c>
      <c r="B1" s="9" t="inlineStr">
        <is>
          <t>Rol</t>
        </is>
      </c>
      <c r="C1" s="9" t="inlineStr">
        <is>
          <t>Status</t>
        </is>
      </c>
      <c r="D1" s="9" t="inlineStr">
        <is>
          <t>Última Acción</t>
        </is>
      </c>
      <c r="E1" s="9" t="inlineStr">
        <is>
          <t>Matter Asignado</t>
        </is>
      </c>
    </row>
    <row r="2">
      <c r="A2" s="6" t="inlineStr">
        <is>
          <t>Despacho Legal</t>
        </is>
      </c>
      <c r="B2" s="6" t="inlineStr">
        <is>
          <t>Orquestador principal</t>
        </is>
      </c>
      <c r="C2" s="7" t="inlineStr">
        <is>
          <t>activo</t>
        </is>
      </c>
      <c r="D2" s="6" t="inlineStr">
        <is>
          <t>Estrategia PRAG-001</t>
        </is>
      </c>
      <c r="E2" s="6" t="inlineStr">
        <is>
          <t>PRAG-001</t>
        </is>
      </c>
    </row>
    <row r="3">
      <c r="A3" s="6" t="inlineStr">
        <is>
          <t>Paralegal de Intake</t>
        </is>
      </c>
      <c r="B3" s="6" t="inlineStr">
        <is>
          <t>Recepción y estructura</t>
        </is>
      </c>
      <c r="C3" s="7" t="inlineStr">
        <is>
          <t>activo</t>
        </is>
      </c>
      <c r="D3" s="6" t="inlineStr">
        <is>
          <t>Intake Pragma Studio</t>
        </is>
      </c>
      <c r="E3" s="6" t="inlineStr">
        <is>
          <t>PRAG-001</t>
        </is>
      </c>
    </row>
    <row r="4">
      <c r="A4" s="6" t="inlineStr">
        <is>
          <t>Bibliotecario Legal</t>
        </is>
      </c>
      <c r="B4" s="6" t="inlineStr">
        <is>
          <t>Templates y precedentes</t>
        </is>
      </c>
      <c r="C4" s="7" t="inlineStr">
        <is>
          <t>activo</t>
        </is>
      </c>
      <c r="D4" s="6" t="inlineStr">
        <is>
          <t>Catálogo templates</t>
        </is>
      </c>
      <c r="E4" s="6" t="inlineStr">
        <is>
          <t>Todos</t>
        </is>
      </c>
    </row>
    <row r="5">
      <c r="A5" s="6" t="inlineStr">
        <is>
          <t>Arquitecto Legal</t>
        </is>
      </c>
      <c r="B5" s="6" t="inlineStr">
        <is>
          <t>Paquetes de documentos</t>
        </is>
      </c>
      <c r="C5" s="7" t="inlineStr">
        <is>
          <t>activo</t>
        </is>
      </c>
      <c r="D5" s="6" t="inlineStr">
        <is>
          <t>Diseño paquete PRAG-001</t>
        </is>
      </c>
      <c r="E5" s="6" t="inlineStr">
        <is>
          <t>PRAG-001</t>
        </is>
      </c>
    </row>
    <row r="6">
      <c r="A6" s="6" t="inlineStr">
        <is>
          <t>Coordinador de Plazos</t>
        </is>
      </c>
      <c r="B6" s="6" t="inlineStr">
        <is>
          <t>Deadlines y alertas</t>
        </is>
      </c>
      <c r="C6" s="7" t="inlineStr">
        <is>
          <t>activo</t>
        </is>
      </c>
      <c r="D6" s="6" t="inlineStr">
        <is>
          <t>3 plazos registrados</t>
        </is>
      </c>
      <c r="E6" s="6" t="inlineStr">
        <is>
          <t>PRAG-001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6" max="6"/>
    <col width="15" customWidth="1" min="8" max="8"/>
  </cols>
  <sheetData>
    <row r="1">
      <c r="A1" s="9" t="inlineStr">
        <is>
          <t>Matter ID</t>
        </is>
      </c>
      <c r="B1" s="9" t="inlineStr">
        <is>
          <t>Cliente Disputa</t>
        </is>
      </c>
      <c r="C1" s="9" t="inlineStr">
        <is>
          <t>Monto Total</t>
        </is>
      </c>
      <c r="D1" s="9" t="inlineStr">
        <is>
          <t>Anticipo</t>
        </is>
      </c>
      <c r="E1" s="9" t="inlineStr">
        <is>
          <t>Adeudo</t>
        </is>
      </c>
      <c r="F1" s="9" t="inlineStr">
        <is>
          <t>Estrategia</t>
        </is>
      </c>
      <c r="G1" s="9" t="inlineStr">
        <is>
          <t>Status</t>
        </is>
      </c>
      <c r="H1" s="9" t="inlineStr">
        <is>
          <t>Riesgo</t>
        </is>
      </c>
    </row>
    <row r="2">
      <c r="A2" s="6" t="inlineStr">
        <is>
          <t>PRAG-001</t>
        </is>
      </c>
      <c r="B2" s="6" t="inlineStr">
        <is>
          <t>Andy</t>
        </is>
      </c>
      <c r="C2" s="11" t="n">
        <v>353080</v>
      </c>
      <c r="D2" s="11" t="n">
        <v>122871</v>
      </c>
      <c r="E2" s="11" t="n">
        <v>230209</v>
      </c>
      <c r="F2" s="6" t="inlineStr">
        <is>
          <t>Cobrar $80k con fundamento legal, no incumplimiento total ($200k)</t>
        </is>
      </c>
      <c r="G2" s="8" t="inlineStr">
        <is>
          <t>urgente</t>
        </is>
      </c>
      <c r="H2" s="6" t="inlineStr">
        <is>
          <t>$80k-$200k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d3d3a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Tipo</t>
        </is>
      </c>
      <c r="B1" s="9" t="inlineStr">
        <is>
          <t>Título</t>
        </is>
      </c>
      <c r="C1" s="9" t="inlineStr">
        <is>
          <t>Área</t>
        </is>
      </c>
      <c r="D1" s="9" t="inlineStr">
        <is>
          <t>Referencia</t>
        </is>
      </c>
      <c r="E1" s="9" t="inlineStr">
        <is>
          <t>Última Actualización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d5a3d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Matter ID</t>
        </is>
      </c>
      <c r="B1" s="9" t="inlineStr">
        <is>
          <t>Concepto</t>
        </is>
      </c>
      <c r="C1" s="9" t="inlineStr">
        <is>
          <t>Monto</t>
        </is>
      </c>
      <c r="D1" s="9" t="inlineStr">
        <is>
          <t>Fecha Emisión</t>
        </is>
      </c>
      <c r="E1" s="9" t="inlineStr">
        <is>
          <t>Fecha Vencimiento</t>
        </is>
      </c>
      <c r="F1" s="9" t="inlineStr">
        <is>
          <t>Status Pago</t>
        </is>
      </c>
      <c r="G1" s="9" t="inlineStr">
        <is>
          <t>Método</t>
        </is>
      </c>
      <c r="H1" s="9" t="inlineStr">
        <is>
          <t>Notas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9a96"/>
    <outlinePr summaryBelow="1" summaryRight="1"/>
    <pageSetUpPr/>
  </sheetPr>
  <dimension ref="A2:B2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2">
      <c r="A2" t="inlineStr">
        <is>
          <t>WILLOW LEGAL — Guía de Uso</t>
        </is>
      </c>
    </row>
    <row r="3">
      <c r="A3" t="inlineStr">
        <is>
          <t>ESTRUCTURA DEL EXCEL</t>
        </is>
      </c>
    </row>
    <row r="4">
      <c r="A4" t="inlineStr">
        <is>
          <t>Dashboard</t>
        </is>
      </c>
      <c r="B4" t="inlineStr">
        <is>
          <t>Métricas y navegación rápida</t>
        </is>
      </c>
    </row>
    <row r="5">
      <c r="A5" t="inlineStr">
        <is>
          <t>Matters</t>
        </is>
      </c>
      <c r="B5" t="inlineStr">
        <is>
          <t>Tracker de matters con status y prioridad</t>
        </is>
      </c>
    </row>
    <row r="6">
      <c r="A6" t="inlineStr">
        <is>
          <t>Documentos</t>
        </is>
      </c>
      <c r="B6" t="inlineStr">
        <is>
          <t>Tracker de documentos por matter</t>
        </is>
      </c>
    </row>
    <row r="7">
      <c r="A7" t="inlineStr">
        <is>
          <t>Plazos</t>
        </is>
      </c>
      <c r="B7" t="inlineStr">
        <is>
          <t>Deadlines con días restantes automáticos</t>
        </is>
      </c>
    </row>
    <row r="8">
      <c r="A8" t="inlineStr">
        <is>
          <t>Finanzas</t>
        </is>
      </c>
      <c r="B8" t="inlineStr">
        <is>
          <t>Honorarios, pagos, pendientes</t>
        </is>
      </c>
    </row>
    <row r="9">
      <c r="A9" t="inlineStr">
        <is>
          <t>Clientes</t>
        </is>
      </c>
      <c r="B9" t="inlineStr">
        <is>
          <t>Directorio de clientes</t>
        </is>
      </c>
    </row>
    <row r="10">
      <c r="A10" t="inlineStr">
        <is>
          <t>Templates</t>
        </is>
      </c>
      <c r="B10" t="inlineStr">
        <is>
          <t>Catálogo de 23 templates de Kami</t>
        </is>
      </c>
    </row>
    <row r="11">
      <c r="A11" t="inlineStr">
        <is>
          <t>Agentes</t>
        </is>
      </c>
      <c r="B11" t="inlineStr">
        <is>
          <t>Estado de 5 agentes legales</t>
        </is>
      </c>
    </row>
    <row r="12">
      <c r="A12" t="inlineStr">
        <is>
          <t>Disputas</t>
        </is>
      </c>
      <c r="B12" t="inlineStr">
        <is>
          <t>Tracker de disputas activas</t>
        </is>
      </c>
    </row>
    <row r="13">
      <c r="A13" t="inlineStr">
        <is>
          <t>Biblioteca</t>
        </is>
      </c>
      <c r="B13" t="inlineStr">
        <is>
          <t>Precedentes, jurisprudencia, cláusulas</t>
        </is>
      </c>
    </row>
    <row r="14">
      <c r="A14" t="inlineStr">
        <is>
          <t>Facturacion</t>
        </is>
      </c>
      <c r="B14" t="inlineStr">
        <is>
          <t>Cotizaciones, facturas, pagos</t>
        </is>
      </c>
    </row>
    <row r="15">
      <c r="A15" t="inlineStr">
        <is>
          <t>REGLAS DE ORO</t>
        </is>
      </c>
    </row>
    <row r="16">
      <c r="A16" t="inlineStr">
        <is>
          <t>1. Todo cliente nuevo copia la carpeta Cliente_Nuevo_1 y renombra</t>
        </is>
      </c>
    </row>
    <row r="17">
      <c r="A17" t="inlineStr">
        <is>
          <t>2. Todo documento final va a 06_Entregables/Documentos_Finales/</t>
        </is>
      </c>
    </row>
    <row r="18">
      <c r="A18" t="inlineStr">
        <is>
          <t>3. Todo contrato pasa por: Borrador → Revisión → Firmado</t>
        </is>
      </c>
    </row>
    <row r="19">
      <c r="A19" t="inlineStr">
        <is>
          <t>4. Onyx (cuando exista) registra el qué/cuándo/quién. La carpeta guarda el archivo físico.</t>
        </is>
      </c>
    </row>
    <row r="20">
      <c r="A20" t="inlineStr">
        <is>
          <t>5. Matters cerrados se mueven a 07_Archivo/Cerrado/</t>
        </is>
      </c>
    </row>
    <row r="21">
      <c r="A21" t="inlineStr">
        <is>
          <t>CONTACTO</t>
        </is>
      </c>
    </row>
    <row r="22">
      <c r="A22" t="inlineStr">
        <is>
          <t>We Law S.C.</t>
        </is>
      </c>
      <c r="B22" t="inlineStr">
        <is>
          <t>hola@welaw.com.mx</t>
        </is>
      </c>
    </row>
    <row r="23">
      <c r="A23" t="inlineStr">
        <is>
          <t>Soporte técnico</t>
        </is>
      </c>
      <c r="B23" t="inlineStr">
        <is>
          <t>Hermes Neo / WS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2026-04-30T21:11:20Z</dcterms:created>
  <dcterms:modified xmlns:dcterms="http://purl.org/dc/terms/" xmlns:xsi="http://www.w3.org/2001/XMLSchema-instance" xsi:type="dcterms:W3CDTF">2026-04-30T21:11:20Z</dcterms:modified>
</cp:coreProperties>
</file>